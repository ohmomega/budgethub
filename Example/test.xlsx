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ม.ย. 2569" sheetId="1" r:id="rId5"/>
  </sheets>
  <definedNames/>
  <calcPr/>
</workbook>
</file>

<file path=xl/sharedStrings.xml><?xml version="1.0" encoding="utf-8"?>
<sst xmlns="http://schemas.openxmlformats.org/spreadsheetml/2006/main" count="186" uniqueCount="51">
  <si>
    <t>สรุปงบประมาณ เดือน เมษายน 2569</t>
  </si>
  <si>
    <t>แผนก</t>
  </si>
  <si>
    <t>ลำดับที</t>
  </si>
  <si>
    <t>รหัสบัญชี</t>
  </si>
  <si>
    <t>รหัสศูนย์ต้นทุน</t>
  </si>
  <si>
    <t>รายการ</t>
  </si>
  <si>
    <t>จำนวนเงิน</t>
  </si>
  <si>
    <t>ภาษี</t>
  </si>
  <si>
    <t>ราคารวม</t>
  </si>
  <si>
    <t>เหตุผล</t>
  </si>
  <si>
    <t>ตัดงบทำการ (ไม่รวมภาษี)</t>
  </si>
  <si>
    <t>ผกส.กฟส.ศรช.</t>
  </si>
  <si>
    <t>8005091787 0030</t>
  </si>
  <si>
    <t>8005106322 0030</t>
  </si>
  <si>
    <t>8005106294 0030</t>
  </si>
  <si>
    <t>8005108963 0020</t>
  </si>
  <si>
    <t>8005115775 0030</t>
  </si>
  <si>
    <t>8005108964 0020</t>
  </si>
  <si>
    <t>8005163399 0030</t>
  </si>
  <si>
    <t>8005173671 0030</t>
  </si>
  <si>
    <t>8005163603 0030</t>
  </si>
  <si>
    <t>8005146733 0030</t>
  </si>
  <si>
    <t>ผปบ.กฟส.ศรช.</t>
  </si>
  <si>
    <t>H307101030</t>
  </si>
  <si>
    <t>ตัดงบทำการ (สมชาย)</t>
  </si>
  <si>
    <t>H308301010</t>
  </si>
  <si>
    <t>กฟส.บ่อทอง 130001806199</t>
  </si>
  <si>
    <t>กฟส.บ่อทอง 130001806649</t>
  </si>
  <si>
    <t>H319101030</t>
  </si>
  <si>
    <t>กฟส.บึง 130001807422</t>
  </si>
  <si>
    <t>-</t>
  </si>
  <si>
    <t>กฟส.ศรีราชา 130001817827</t>
  </si>
  <si>
    <t>กฟส.ศรีราชา 1008699554</t>
  </si>
  <si>
    <t>H312101030</t>
  </si>
  <si>
    <t>กฟส.บ้านบึง 130001827325</t>
  </si>
  <si>
    <t>ตัดงบทำการ (ณัฐพล)</t>
  </si>
  <si>
    <t>7001144077 0030</t>
  </si>
  <si>
    <t>7001144073 0020</t>
  </si>
  <si>
    <t>ตัดงบทำการ (นิคม)</t>
  </si>
  <si>
    <t>กฟส.ศรีราชา 130001821320</t>
  </si>
  <si>
    <t>ตัดงบทำการ (สืบศักดิ์)</t>
  </si>
  <si>
    <t>8005256528 0030</t>
  </si>
  <si>
    <t>8005163402 0030</t>
  </si>
  <si>
    <t>ผบส.กฟส.ศรช.</t>
  </si>
  <si>
    <t>H307101010</t>
  </si>
  <si>
    <t>ตัดงบทำการ</t>
  </si>
  <si>
    <t>ผคพ.กฟส.ศรช.</t>
  </si>
  <si>
    <t>H307101070</t>
  </si>
  <si>
    <t>กฟย.เกาะสีชัง</t>
  </si>
  <si>
    <t>H307103000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</si>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</sst>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30.0"/>
      <color theme="1"/>
      <name val="Arial"/>
      <scheme val="minor"/>
    </font>
    <font>
      <color theme="1"/>
      <name val="Arial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2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shrinkToFit="0" vertical="center" wrapText="0"/>
    </xf>
    <xf borderId="0" fillId="0" fontId="3" numFmtId="4" xfId="0" applyAlignment="1" applyFont="1" applyNumberFormat="1">
      <alignment shrinkToFit="0" vertical="bottom" wrapText="0"/>
    </xf>
    <xf borderId="0" fillId="0" fontId="1" numFmtId="4" xfId="0" applyAlignment="1" applyFont="1" applyNumberFormat="1">
      <alignment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4" xfId="0" applyAlignment="1" applyBorder="1" applyFont="1" applyNumberFormat="1">
      <alignment shrinkToFit="0" vertical="center" wrapText="0"/>
    </xf>
    <xf borderId="2" fillId="2" fontId="3" numFmtId="4" xfId="0" applyAlignment="1" applyBorder="1" applyFont="1" applyNumberFormat="1">
      <alignment shrinkToFit="0" vertical="center" wrapText="0"/>
    </xf>
    <xf borderId="3" fillId="2" fontId="4" numFmtId="4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เม.ย. 256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เม.ย. 2569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เม.ย. 2569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เม.ย. 2569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เม.ย. 2569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เม.ย. 2569-style 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J41" displayName="โดยรวม" name="โดยรวม" id="1">
  <tableColumns count="10">
    <tableColumn name="แผนก" id="1"/>
    <tableColumn name="ลำดับที" id="2"/>
    <tableColumn name="รหัสบัญชี" id="3"/>
    <tableColumn name="รหัสศูนย์ต้นทุน" id="4"/>
    <tableColumn name="รายการ" id="5"/>
    <tableColumn name="จำนวนเงิน" id="6"/>
    <tableColumn name="ภาษี" id="7"/>
    <tableColumn name="ราคารวม" id="8"/>
    <tableColumn name="เหตุผล" id="9"/>
    <tableColumn name="ตัดงบทำการ (ไม่รวมภาษี)" id="10"/>
  </tableColumns>
  <tableStyleInfo name="เม.ย. 2569-style" showColumnStripes="0" showFirstColumn="1" showLastColumn="1" showRowStripes="1"/>
</table>
</file>

<file path=xl/tables/table2.xml><?xml version="1.0" encoding="utf-8"?>
<table xmlns="http://schemas.openxmlformats.org/spreadsheetml/2006/main" ref="A49:J61" displayName="แผนก_ผกส.กฟส.ศรช." name="แผนก_ผกส.กฟส.ศรช." id="2">
  <tableColumns count="10">
    <tableColumn name="แผนก" id="1"/>
    <tableColumn name="ลำดับที" id="2"/>
    <tableColumn name="รหัสบัญชี" id="3"/>
    <tableColumn name="รหัสศูนย์ต้นทุน" id="4"/>
    <tableColumn name="รายการ" id="5"/>
    <tableColumn name="จำนวนเงิน" id="6"/>
    <tableColumn name="ภาษี" id="7"/>
    <tableColumn name="ราคารวม" id="8"/>
    <tableColumn name="เหตุผล" id="9"/>
    <tableColumn name="ตัดงบทำการ (ไม่รวมภาษี)" id="10"/>
  </tableColumns>
  <tableStyleInfo name="เม.ย. 2569-style 2" showColumnStripes="0" showFirstColumn="1" showLastColumn="1" showRowStripes="1"/>
</table>
</file>

<file path=xl/tables/table3.xml><?xml version="1.0" encoding="utf-8"?>
<table xmlns="http://schemas.openxmlformats.org/spreadsheetml/2006/main" ref="A69:J89" displayName="แผนก_ผปบ.กฟส.ศรช." name="แผนก_ผปบ.กฟส.ศรช." id="3">
  <tableColumns count="10">
    <tableColumn name="แผนก" id="1"/>
    <tableColumn name="ลำดับที" id="2"/>
    <tableColumn name="รหัสบัญชี" id="3"/>
    <tableColumn name="รหัสศูนย์ต้นทุน" id="4"/>
    <tableColumn name="รายการ" id="5"/>
    <tableColumn name="จำนวนเงิน" id="6"/>
    <tableColumn name="ภาษี" id="7"/>
    <tableColumn name="ราคารวม" id="8"/>
    <tableColumn name="เหตุผล" id="9"/>
    <tableColumn name="ตัดงบทำการ (ไม่รวมภาษี)" id="10"/>
  </tableColumns>
  <tableStyleInfo name="เม.ย. 2569-style 3" showColumnStripes="0" showFirstColumn="1" showLastColumn="1" showRowStripes="1"/>
</table>
</file>

<file path=xl/tables/table4.xml><?xml version="1.0" encoding="utf-8"?>
<table xmlns="http://schemas.openxmlformats.org/spreadsheetml/2006/main" ref="A93:J96" displayName="แผนก__ผบส.กฟส.ศรช." name="แผนก__ผบส.กฟส.ศรช." id="4">
  <tableColumns count="10">
    <tableColumn name="แผนก" id="1"/>
    <tableColumn name="ลำดับที" id="2"/>
    <tableColumn name="รหัสบัญชี" id="3"/>
    <tableColumn name="รหัสศูนย์ต้นทุน" id="4"/>
    <tableColumn name="รายการ" id="5"/>
    <tableColumn name="จำนวนเงิน" id="6"/>
    <tableColumn name="ภาษี" id="7"/>
    <tableColumn name="ราคารวม" id="8"/>
    <tableColumn name="เหตุผล" id="9"/>
    <tableColumn name="ตัดงบทำการ (ไม่รวมภาษี)" id="10"/>
  </tableColumns>
  <tableStyleInfo name="เม.ย. 2569-style 4" showColumnStripes="0" showFirstColumn="1" showLastColumn="1" showRowStripes="1"/>
</table>
</file>

<file path=xl/tables/table5.xml><?xml version="1.0" encoding="utf-8"?>
<table xmlns="http://schemas.openxmlformats.org/spreadsheetml/2006/main" ref="A105:J108" displayName="แผนก_ผคพ.กฟส.ศรช." name="แผนก_ผคพ.กฟส.ศรช." id="5">
  <tableColumns count="10">
    <tableColumn name="แผนก" id="1"/>
    <tableColumn name="ลำดับที" id="2"/>
    <tableColumn name="รหัสบัญชี" id="3"/>
    <tableColumn name="รหัสศูนย์ต้นทุน" id="4"/>
    <tableColumn name="รายการ" id="5"/>
    <tableColumn name="จำนวนเงิน" id="6"/>
    <tableColumn name="ภาษี" id="7"/>
    <tableColumn name="ราคารวม" id="8"/>
    <tableColumn name="เหตุผล" id="9"/>
    <tableColumn name="ตัดงบทำการ (ไม่รวมภาษี)" id="10"/>
  </tableColumns>
  <tableStyleInfo name="เม.ย. 2569-style 5" showColumnStripes="0" showFirstColumn="1" showLastColumn="1" showRowStripes="1"/>
</table>
</file>

<file path=xl/tables/table6.xml><?xml version="1.0" encoding="utf-8"?>
<table xmlns="http://schemas.openxmlformats.org/spreadsheetml/2006/main" ref="A113:J116" displayName="แผนก_" name="แผนก_" id="6">
  <tableColumns count="10">
    <tableColumn name="แผนก" id="1"/>
    <tableColumn name="ลำดับที" id="2"/>
    <tableColumn name="รหัสบัญชี" id="3"/>
    <tableColumn name="รหัสศูนย์ต้นทุน" id="4"/>
    <tableColumn name="รายการ" id="5"/>
    <tableColumn name="จำนวนเงิน" id="6"/>
    <tableColumn name="ภาษี" id="7"/>
    <tableColumn name="ราคารวม" id="8"/>
    <tableColumn name="เหตุผล" id="9"/>
    <tableColumn name="ตัดงบทำการ (ไม่รวมภาษี)" id="10"/>
  </tableColumns>
  <tableStyleInfo name="เม.ย. 2569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13"/>
    <col customWidth="1" min="4" max="4" width="18.88"/>
    <col customWidth="1" min="5" max="5" width="23.38"/>
    <col customWidth="1" min="6" max="6" width="15.75"/>
    <col customWidth="1" min="8" max="8" width="14.63"/>
    <col customWidth="1" min="10" max="10" width="23.0"/>
  </cols>
  <sheetData>
    <row r="1" ht="43.5" customHeight="1">
      <c r="A1" s="1"/>
      <c r="B1" s="1"/>
      <c r="C1" s="1"/>
      <c r="D1" s="1"/>
      <c r="F1" s="1"/>
      <c r="G1" s="1"/>
      <c r="H1" s="1"/>
      <c r="I1" s="1"/>
      <c r="J1" s="1"/>
    </row>
    <row r="2" ht="41.25" customHeight="1">
      <c r="A2" s="1"/>
      <c r="B2" s="1"/>
      <c r="C2" s="1"/>
      <c r="D2" s="1"/>
      <c r="E2" s="2" t="s">
        <v>0</v>
      </c>
      <c r="F2" s="1"/>
      <c r="G2" s="1"/>
      <c r="H2" s="1"/>
      <c r="I2" s="1"/>
      <c r="J2" s="1"/>
    </row>
    <row r="3" ht="32.25" customHeight="1">
      <c r="A3" s="1"/>
      <c r="B3" s="1"/>
      <c r="C3" s="1"/>
      <c r="D3" s="1"/>
      <c r="E3" s="2"/>
      <c r="F3" s="1"/>
      <c r="G3" s="1"/>
      <c r="H3" s="1"/>
      <c r="I3" s="1"/>
      <c r="J3" s="1"/>
    </row>
    <row r="4" ht="27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ht="22.5" customHeight="1">
      <c r="A5" s="4" t="s">
        <v>11</v>
      </c>
      <c r="B5" s="4"/>
      <c r="C5" s="5"/>
      <c r="D5" s="6"/>
      <c r="E5" s="4"/>
      <c r="F5" s="7"/>
      <c r="G5" s="8"/>
      <c r="H5" s="8"/>
      <c r="I5" s="8"/>
      <c r="J5" s="8"/>
    </row>
    <row r="6" ht="22.5" customHeight="1">
      <c r="C6" s="5">
        <v>5.301006E7</v>
      </c>
      <c r="D6" s="9"/>
      <c r="E6" s="4" t="s">
        <v>12</v>
      </c>
      <c r="F6" s="7">
        <v>5400.0</v>
      </c>
      <c r="G6" s="7">
        <f t="shared" ref="G6:G15" si="1"> F6 *7%</f>
        <v>378</v>
      </c>
      <c r="H6" s="7">
        <f t="shared" ref="H6:H15" si="2">F6 + G6</f>
        <v>5778</v>
      </c>
      <c r="I6" s="8"/>
      <c r="J6" s="8"/>
    </row>
    <row r="7" ht="22.5" customHeight="1">
      <c r="C7" s="5">
        <v>5.301006E7</v>
      </c>
      <c r="D7" s="9"/>
      <c r="E7" s="4" t="s">
        <v>13</v>
      </c>
      <c r="F7" s="7">
        <v>4600.0</v>
      </c>
      <c r="G7" s="7">
        <f t="shared" si="1"/>
        <v>322</v>
      </c>
      <c r="H7" s="7">
        <f t="shared" si="2"/>
        <v>4922</v>
      </c>
      <c r="I7" s="8"/>
      <c r="J7" s="8"/>
    </row>
    <row r="8" ht="22.5" customHeight="1">
      <c r="C8" s="5">
        <v>5.301006E7</v>
      </c>
      <c r="D8" s="9"/>
      <c r="E8" s="4" t="s">
        <v>14</v>
      </c>
      <c r="F8" s="7">
        <v>4420.0</v>
      </c>
      <c r="G8" s="7">
        <f t="shared" si="1"/>
        <v>309.4</v>
      </c>
      <c r="H8" s="7">
        <f t="shared" si="2"/>
        <v>4729.4</v>
      </c>
      <c r="I8" s="8"/>
      <c r="J8" s="8"/>
    </row>
    <row r="9" ht="22.5" customHeight="1">
      <c r="C9" s="5">
        <v>5.301006E7</v>
      </c>
      <c r="D9" s="9"/>
      <c r="E9" s="4" t="s">
        <v>15</v>
      </c>
      <c r="F9" s="7">
        <v>3500.0</v>
      </c>
      <c r="G9" s="7">
        <f t="shared" si="1"/>
        <v>245</v>
      </c>
      <c r="H9" s="7">
        <f t="shared" si="2"/>
        <v>3745</v>
      </c>
      <c r="I9" s="8"/>
      <c r="J9" s="8"/>
    </row>
    <row r="10" ht="22.5" customHeight="1">
      <c r="C10" s="5">
        <v>5.301006E7</v>
      </c>
      <c r="D10" s="9"/>
      <c r="E10" s="4" t="s">
        <v>16</v>
      </c>
      <c r="F10" s="7">
        <v>2600.0</v>
      </c>
      <c r="G10" s="7">
        <f t="shared" si="1"/>
        <v>182</v>
      </c>
      <c r="H10" s="7">
        <f t="shared" si="2"/>
        <v>2782</v>
      </c>
      <c r="I10" s="8"/>
      <c r="J10" s="8"/>
    </row>
    <row r="11" ht="22.5" customHeight="1">
      <c r="C11" s="5">
        <v>5.301006E7</v>
      </c>
      <c r="D11" s="9"/>
      <c r="E11" s="4" t="s">
        <v>17</v>
      </c>
      <c r="F11" s="7">
        <v>3300.0</v>
      </c>
      <c r="G11" s="7">
        <f t="shared" si="1"/>
        <v>231</v>
      </c>
      <c r="H11" s="7">
        <f t="shared" si="2"/>
        <v>3531</v>
      </c>
      <c r="I11" s="8"/>
      <c r="J11" s="8"/>
    </row>
    <row r="12" ht="22.5" customHeight="1">
      <c r="C12" s="5">
        <v>5.301006E7</v>
      </c>
      <c r="D12" s="9"/>
      <c r="E12" s="4" t="s">
        <v>18</v>
      </c>
      <c r="F12" s="7">
        <v>794.0</v>
      </c>
      <c r="G12" s="7">
        <f t="shared" si="1"/>
        <v>55.58</v>
      </c>
      <c r="H12" s="7">
        <f t="shared" si="2"/>
        <v>849.58</v>
      </c>
      <c r="I12" s="8"/>
      <c r="J12" s="8"/>
    </row>
    <row r="13" ht="22.5" customHeight="1">
      <c r="C13" s="5">
        <v>5.301006E7</v>
      </c>
      <c r="D13" s="9"/>
      <c r="E13" s="4" t="s">
        <v>19</v>
      </c>
      <c r="F13" s="7">
        <v>794.0</v>
      </c>
      <c r="G13" s="7">
        <f t="shared" si="1"/>
        <v>55.58</v>
      </c>
      <c r="H13" s="7">
        <f t="shared" si="2"/>
        <v>849.58</v>
      </c>
      <c r="I13" s="8"/>
      <c r="J13" s="8"/>
    </row>
    <row r="14" ht="22.5" customHeight="1">
      <c r="C14" s="5">
        <v>5.301006E7</v>
      </c>
      <c r="D14" s="9"/>
      <c r="E14" s="4" t="s">
        <v>20</v>
      </c>
      <c r="F14" s="7">
        <v>794.0</v>
      </c>
      <c r="G14" s="7">
        <f t="shared" si="1"/>
        <v>55.58</v>
      </c>
      <c r="H14" s="7">
        <f t="shared" si="2"/>
        <v>849.58</v>
      </c>
      <c r="I14" s="8"/>
      <c r="J14" s="8"/>
    </row>
    <row r="15" ht="22.5" customHeight="1">
      <c r="C15" s="5">
        <v>5.301006E7</v>
      </c>
      <c r="D15" s="9"/>
      <c r="E15" s="4" t="s">
        <v>21</v>
      </c>
      <c r="F15" s="7">
        <v>794.0</v>
      </c>
      <c r="G15" s="7">
        <f t="shared" si="1"/>
        <v>55.58</v>
      </c>
      <c r="H15" s="7">
        <f t="shared" si="2"/>
        <v>849.58</v>
      </c>
      <c r="I15" s="8"/>
      <c r="J15" s="8"/>
    </row>
    <row r="16" ht="22.5" customHeight="1">
      <c r="A16" s="10" t="s">
        <v>22</v>
      </c>
      <c r="C16" s="11"/>
      <c r="D16" s="9"/>
      <c r="F16" s="8"/>
      <c r="G16" s="8"/>
      <c r="H16" s="8"/>
      <c r="I16" s="8"/>
      <c r="J16" s="8"/>
    </row>
    <row r="17" ht="22.5" customHeight="1">
      <c r="B17" s="3"/>
      <c r="C17" s="12">
        <v>5.301009E7</v>
      </c>
      <c r="D17" s="13" t="s">
        <v>23</v>
      </c>
      <c r="E17" s="10" t="s">
        <v>24</v>
      </c>
      <c r="F17" s="7">
        <v>19071.0</v>
      </c>
      <c r="G17" s="7">
        <f t="shared" ref="G17:G34" si="3"> F17 *7%</f>
        <v>1334.97</v>
      </c>
      <c r="H17" s="7">
        <f t="shared" ref="H17:H34" si="4">F17 + G17</f>
        <v>20405.97</v>
      </c>
      <c r="I17" s="8"/>
      <c r="J17" s="8"/>
    </row>
    <row r="18" ht="22.5" customHeight="1">
      <c r="B18" s="3"/>
      <c r="C18" s="12">
        <v>5.301009E7</v>
      </c>
      <c r="D18" s="13" t="s">
        <v>25</v>
      </c>
      <c r="E18" s="10" t="s">
        <v>26</v>
      </c>
      <c r="F18" s="7">
        <v>800.0</v>
      </c>
      <c r="G18" s="7">
        <f t="shared" si="3"/>
        <v>56</v>
      </c>
      <c r="H18" s="7">
        <f t="shared" si="4"/>
        <v>856</v>
      </c>
      <c r="I18" s="8"/>
      <c r="J18" s="8"/>
    </row>
    <row r="19" ht="22.5" customHeight="1">
      <c r="B19" s="3"/>
      <c r="C19" s="12">
        <v>5.301009E7</v>
      </c>
      <c r="D19" s="13" t="s">
        <v>25</v>
      </c>
      <c r="E19" s="10" t="s">
        <v>27</v>
      </c>
      <c r="F19" s="7">
        <v>800.0</v>
      </c>
      <c r="G19" s="7">
        <f t="shared" si="3"/>
        <v>56</v>
      </c>
      <c r="H19" s="7">
        <f t="shared" si="4"/>
        <v>856</v>
      </c>
      <c r="I19" s="8"/>
      <c r="J19" s="8"/>
    </row>
    <row r="20" ht="22.5" customHeight="1">
      <c r="B20" s="3"/>
      <c r="C20" s="12">
        <v>5.301009E7</v>
      </c>
      <c r="D20" s="13" t="s">
        <v>28</v>
      </c>
      <c r="E20" s="10" t="s">
        <v>29</v>
      </c>
      <c r="F20" s="7">
        <v>624.0</v>
      </c>
      <c r="G20" s="7">
        <f t="shared" si="3"/>
        <v>43.68</v>
      </c>
      <c r="H20" s="7">
        <f t="shared" si="4"/>
        <v>667.68</v>
      </c>
      <c r="I20" s="8"/>
      <c r="J20" s="8"/>
    </row>
    <row r="21" ht="22.5" customHeight="1">
      <c r="B21" s="3"/>
      <c r="C21" s="12">
        <v>5.301009E7</v>
      </c>
      <c r="D21" s="13" t="s">
        <v>30</v>
      </c>
      <c r="E21" s="10" t="s">
        <v>31</v>
      </c>
      <c r="F21" s="7">
        <v>624.0</v>
      </c>
      <c r="G21" s="7">
        <f t="shared" si="3"/>
        <v>43.68</v>
      </c>
      <c r="H21" s="7">
        <f t="shared" si="4"/>
        <v>667.68</v>
      </c>
      <c r="I21" s="8"/>
      <c r="J21" s="8"/>
    </row>
    <row r="22" ht="22.5" customHeight="1">
      <c r="B22" s="3"/>
      <c r="C22" s="12">
        <v>5.301009E7</v>
      </c>
      <c r="D22" s="13" t="s">
        <v>30</v>
      </c>
      <c r="E22" s="10" t="s">
        <v>32</v>
      </c>
      <c r="F22" s="7">
        <v>468.0</v>
      </c>
      <c r="G22" s="7">
        <f t="shared" si="3"/>
        <v>32.76</v>
      </c>
      <c r="H22" s="7">
        <f t="shared" si="4"/>
        <v>500.76</v>
      </c>
      <c r="I22" s="8"/>
      <c r="J22" s="8"/>
    </row>
    <row r="23" ht="22.5" customHeight="1">
      <c r="B23" s="3"/>
      <c r="C23" s="12">
        <v>5.301009E7</v>
      </c>
      <c r="D23" s="13" t="s">
        <v>30</v>
      </c>
      <c r="E23" s="10" t="s">
        <v>31</v>
      </c>
      <c r="F23" s="7">
        <v>624.0</v>
      </c>
      <c r="G23" s="7">
        <f t="shared" si="3"/>
        <v>43.68</v>
      </c>
      <c r="H23" s="7">
        <f t="shared" si="4"/>
        <v>667.68</v>
      </c>
      <c r="I23" s="8"/>
      <c r="J23" s="8"/>
    </row>
    <row r="24" ht="22.5" customHeight="1">
      <c r="B24" s="3"/>
      <c r="C24" s="12">
        <v>5.301009E7</v>
      </c>
      <c r="D24" s="13" t="s">
        <v>33</v>
      </c>
      <c r="E24" s="10" t="s">
        <v>34</v>
      </c>
      <c r="F24" s="7">
        <v>624.0</v>
      </c>
      <c r="G24" s="7">
        <f t="shared" si="3"/>
        <v>43.68</v>
      </c>
      <c r="H24" s="7">
        <f t="shared" si="4"/>
        <v>667.68</v>
      </c>
      <c r="I24" s="8"/>
      <c r="J24" s="8"/>
    </row>
    <row r="25" ht="22.5" customHeight="1">
      <c r="B25" s="3"/>
      <c r="C25" s="12">
        <v>5.301009E7</v>
      </c>
      <c r="D25" s="13" t="s">
        <v>30</v>
      </c>
      <c r="E25" s="10" t="s">
        <v>31</v>
      </c>
      <c r="F25" s="7">
        <v>234.0</v>
      </c>
      <c r="G25" s="7">
        <f t="shared" si="3"/>
        <v>16.38</v>
      </c>
      <c r="H25" s="7">
        <f t="shared" si="4"/>
        <v>250.38</v>
      </c>
      <c r="I25" s="8"/>
      <c r="J25" s="14">
        <f> SUMIF(D5:D41, "H307101030",F5:F41)</f>
        <v>90531</v>
      </c>
    </row>
    <row r="26" ht="22.5" customHeight="1">
      <c r="B26" s="3"/>
      <c r="C26" s="5">
        <v>5.301009E7</v>
      </c>
      <c r="D26" s="13" t="s">
        <v>23</v>
      </c>
      <c r="E26" s="4" t="s">
        <v>35</v>
      </c>
      <c r="F26" s="7">
        <v>23820.0</v>
      </c>
      <c r="G26" s="7">
        <f t="shared" si="3"/>
        <v>1667.4</v>
      </c>
      <c r="H26" s="7">
        <f t="shared" si="4"/>
        <v>25487.4</v>
      </c>
      <c r="I26" s="8"/>
      <c r="J26" s="8"/>
    </row>
    <row r="27" ht="22.5" customHeight="1">
      <c r="C27" s="5">
        <v>5.301006E7</v>
      </c>
      <c r="D27" s="13" t="s">
        <v>30</v>
      </c>
      <c r="E27" s="4" t="s">
        <v>36</v>
      </c>
      <c r="F27" s="7">
        <v>794.0</v>
      </c>
      <c r="G27" s="7">
        <f t="shared" si="3"/>
        <v>55.58</v>
      </c>
      <c r="H27" s="7">
        <f t="shared" si="4"/>
        <v>849.58</v>
      </c>
      <c r="I27" s="8"/>
      <c r="J27" s="8"/>
    </row>
    <row r="28" ht="22.5" customHeight="1">
      <c r="C28" s="5">
        <v>5.301006E7</v>
      </c>
      <c r="D28" s="13" t="s">
        <v>30</v>
      </c>
      <c r="E28" s="4" t="s">
        <v>37</v>
      </c>
      <c r="F28" s="7">
        <v>794.0</v>
      </c>
      <c r="G28" s="7">
        <f t="shared" si="3"/>
        <v>55.58</v>
      </c>
      <c r="H28" s="7">
        <f t="shared" si="4"/>
        <v>849.58</v>
      </c>
      <c r="I28" s="8"/>
      <c r="J28" s="8"/>
    </row>
    <row r="29" ht="22.5" customHeight="1">
      <c r="C29" s="5">
        <v>5.301006E7</v>
      </c>
      <c r="D29" s="13" t="s">
        <v>30</v>
      </c>
      <c r="E29" s="4" t="s">
        <v>36</v>
      </c>
      <c r="F29" s="7">
        <v>794.0</v>
      </c>
      <c r="G29" s="7">
        <f t="shared" si="3"/>
        <v>55.58</v>
      </c>
      <c r="H29" s="7">
        <f t="shared" si="4"/>
        <v>849.58</v>
      </c>
      <c r="I29" s="8"/>
      <c r="J29" s="8"/>
    </row>
    <row r="30" ht="22.5" customHeight="1">
      <c r="C30" s="5">
        <v>5.301009E7</v>
      </c>
      <c r="D30" s="13" t="s">
        <v>23</v>
      </c>
      <c r="E30" s="4" t="s">
        <v>38</v>
      </c>
      <c r="F30" s="7">
        <v>23820.0</v>
      </c>
      <c r="G30" s="7">
        <f t="shared" si="3"/>
        <v>1667.4</v>
      </c>
      <c r="H30" s="7">
        <f t="shared" si="4"/>
        <v>25487.4</v>
      </c>
      <c r="I30" s="8"/>
      <c r="J30" s="8"/>
    </row>
    <row r="31" ht="22.5" customHeight="1">
      <c r="C31" s="5">
        <v>5.301009E7</v>
      </c>
      <c r="D31" s="13" t="s">
        <v>30</v>
      </c>
      <c r="E31" s="4" t="s">
        <v>39</v>
      </c>
      <c r="F31" s="7">
        <v>794.0</v>
      </c>
      <c r="G31" s="7">
        <f t="shared" si="3"/>
        <v>55.58</v>
      </c>
      <c r="H31" s="7">
        <f t="shared" si="4"/>
        <v>849.58</v>
      </c>
      <c r="I31" s="8"/>
      <c r="J31" s="8"/>
    </row>
    <row r="32" ht="22.5" customHeight="1">
      <c r="C32" s="5">
        <v>5.301009E7</v>
      </c>
      <c r="D32" s="13" t="s">
        <v>23</v>
      </c>
      <c r="E32" s="15" t="s">
        <v>40</v>
      </c>
      <c r="F32" s="7">
        <v>23820.0</v>
      </c>
      <c r="G32" s="7">
        <f t="shared" si="3"/>
        <v>1667.4</v>
      </c>
      <c r="H32" s="7">
        <f t="shared" si="4"/>
        <v>25487.4</v>
      </c>
      <c r="I32" s="8"/>
      <c r="J32" s="8"/>
    </row>
    <row r="33" ht="22.5" customHeight="1">
      <c r="C33" s="5">
        <v>5.301006E7</v>
      </c>
      <c r="D33" s="13" t="s">
        <v>30</v>
      </c>
      <c r="E33" s="4" t="s">
        <v>41</v>
      </c>
      <c r="F33" s="7">
        <v>794.0</v>
      </c>
      <c r="G33" s="7">
        <f t="shared" si="3"/>
        <v>55.58</v>
      </c>
      <c r="H33" s="7">
        <f t="shared" si="4"/>
        <v>849.58</v>
      </c>
      <c r="I33" s="8"/>
      <c r="J33" s="8"/>
    </row>
    <row r="34" ht="22.5" customHeight="1">
      <c r="C34" s="5">
        <v>5.301006E7</v>
      </c>
      <c r="D34" s="13" t="s">
        <v>30</v>
      </c>
      <c r="E34" s="4" t="s">
        <v>42</v>
      </c>
      <c r="F34" s="7">
        <v>794.0</v>
      </c>
      <c r="G34" s="7">
        <f t="shared" si="3"/>
        <v>55.58</v>
      </c>
      <c r="H34" s="7">
        <f t="shared" si="4"/>
        <v>849.58</v>
      </c>
      <c r="I34" s="8"/>
      <c r="J34" s="8"/>
    </row>
    <row r="35" ht="22.5" customHeight="1">
      <c r="A35" s="10" t="s">
        <v>43</v>
      </c>
      <c r="C35" s="11"/>
      <c r="D35" s="9"/>
      <c r="F35" s="8"/>
      <c r="G35" s="8"/>
      <c r="H35" s="8"/>
      <c r="I35" s="8"/>
      <c r="J35" s="8"/>
    </row>
    <row r="36" ht="22.5" customHeight="1">
      <c r="C36" s="12">
        <v>5.301009E7</v>
      </c>
      <c r="D36" s="13" t="s">
        <v>44</v>
      </c>
      <c r="E36" s="10" t="s">
        <v>45</v>
      </c>
      <c r="F36" s="7">
        <v>18720.0</v>
      </c>
      <c r="G36" s="7">
        <f> F36 *7%</f>
        <v>1310.4</v>
      </c>
      <c r="H36" s="7">
        <f>F36 + G36</f>
        <v>20030.4</v>
      </c>
      <c r="I36" s="8"/>
      <c r="J36" s="14">
        <f> SUMIF(D5:D41, "H307101010",F5:F41)</f>
        <v>18720</v>
      </c>
    </row>
    <row r="37" ht="22.5" customHeight="1">
      <c r="A37" s="10" t="s">
        <v>46</v>
      </c>
      <c r="C37" s="11"/>
      <c r="D37" s="9"/>
      <c r="F37" s="8"/>
      <c r="G37" s="8"/>
      <c r="H37" s="8"/>
      <c r="I37" s="8"/>
      <c r="J37" s="8"/>
    </row>
    <row r="38" ht="22.5" customHeight="1">
      <c r="C38" s="12">
        <v>5.301009E7</v>
      </c>
      <c r="D38" s="13" t="s">
        <v>47</v>
      </c>
      <c r="E38" s="10" t="s">
        <v>45</v>
      </c>
      <c r="F38" s="7">
        <v>19305.0</v>
      </c>
      <c r="G38" s="7">
        <f> F38 *7%</f>
        <v>1351.35</v>
      </c>
      <c r="H38" s="7">
        <f>F38 + G38</f>
        <v>20656.35</v>
      </c>
      <c r="I38" s="8"/>
      <c r="J38" s="14">
        <f> SUMIF(D5:D41, "H307101070",F5:F41)</f>
        <v>19305</v>
      </c>
    </row>
    <row r="39" ht="22.5" customHeight="1">
      <c r="A39" s="10" t="s">
        <v>48</v>
      </c>
      <c r="C39" s="11"/>
      <c r="D39" s="9"/>
      <c r="F39" s="8"/>
      <c r="G39" s="8"/>
      <c r="H39" s="8"/>
      <c r="I39" s="8"/>
      <c r="J39" s="8"/>
    </row>
    <row r="40" ht="22.5" customHeight="1">
      <c r="C40" s="12">
        <v>5.301009E7</v>
      </c>
      <c r="D40" s="13" t="s">
        <v>49</v>
      </c>
      <c r="E40" s="10" t="s">
        <v>45</v>
      </c>
      <c r="F40" s="7">
        <v>21255.0</v>
      </c>
      <c r="G40" s="7">
        <f> F40 *7%</f>
        <v>1487.85</v>
      </c>
      <c r="H40" s="7">
        <f>F40 + G40</f>
        <v>22742.85</v>
      </c>
      <c r="I40" s="8"/>
      <c r="J40" s="14">
        <f> SUMIF(D5:D41, "H307103000",F5:F41)</f>
        <v>21255</v>
      </c>
    </row>
    <row r="41" ht="22.5" customHeight="1">
      <c r="A41" s="10" t="s">
        <v>50</v>
      </c>
      <c r="C41" s="11"/>
      <c r="D41" s="9"/>
      <c r="F41" s="8">
        <f>SUM(F5:F40)</f>
        <v>186369</v>
      </c>
      <c r="G41" s="8">
        <f>SUM(G6:G40)</f>
        <v>13045.83</v>
      </c>
      <c r="H41" s="8">
        <f> SUM(H6:H40)</f>
        <v>199414.83</v>
      </c>
      <c r="I41" s="8"/>
      <c r="J41" s="8">
        <f>SUM(J5:J40)</f>
        <v>149811</v>
      </c>
    </row>
    <row r="45">
      <c r="E45" s="16" t="s">
        <v>11</v>
      </c>
    </row>
    <row r="49" ht="22.5" customHeight="1">
      <c r="A49" s="3" t="s">
        <v>1</v>
      </c>
      <c r="B49" s="3" t="s">
        <v>2</v>
      </c>
      <c r="C49" s="3" t="s">
        <v>3</v>
      </c>
      <c r="D49" s="3" t="s">
        <v>4</v>
      </c>
      <c r="E49" s="3" t="s">
        <v>5</v>
      </c>
      <c r="F49" s="3" t="s">
        <v>6</v>
      </c>
      <c r="G49" s="3" t="s">
        <v>7</v>
      </c>
      <c r="H49" s="3" t="s">
        <v>8</v>
      </c>
      <c r="I49" s="3" t="s">
        <v>9</v>
      </c>
      <c r="J49" s="3" t="s">
        <v>10</v>
      </c>
    </row>
    <row r="50" ht="22.5" customHeight="1">
      <c r="A50" s="4" t="s">
        <v>11</v>
      </c>
      <c r="B50" s="4"/>
      <c r="C50" s="5"/>
      <c r="D50" s="6"/>
      <c r="E50" s="4"/>
      <c r="F50" s="7"/>
      <c r="G50" s="8"/>
      <c r="H50" s="8"/>
      <c r="I50" s="8"/>
      <c r="J50" s="8"/>
    </row>
    <row r="51" ht="22.5" customHeight="1">
      <c r="C51" s="5">
        <v>5.301006E7</v>
      </c>
      <c r="D51" s="9"/>
      <c r="E51" s="4" t="s">
        <v>12</v>
      </c>
      <c r="F51" s="7">
        <v>5400.0</v>
      </c>
      <c r="G51" s="7">
        <f t="shared" ref="G51:G60" si="5"> F51 *7%</f>
        <v>378</v>
      </c>
      <c r="H51" s="7">
        <f t="shared" ref="H51:H60" si="6">F51 + G51</f>
        <v>5778</v>
      </c>
      <c r="I51" s="8"/>
      <c r="J51" s="8"/>
    </row>
    <row r="52" ht="22.5" customHeight="1">
      <c r="C52" s="5">
        <v>5.301006E7</v>
      </c>
      <c r="D52" s="9"/>
      <c r="E52" s="4" t="s">
        <v>13</v>
      </c>
      <c r="F52" s="7">
        <v>4600.0</v>
      </c>
      <c r="G52" s="7">
        <f t="shared" si="5"/>
        <v>322</v>
      </c>
      <c r="H52" s="7">
        <f t="shared" si="6"/>
        <v>4922</v>
      </c>
      <c r="I52" s="8"/>
      <c r="J52" s="8"/>
    </row>
    <row r="53" ht="22.5" customHeight="1">
      <c r="C53" s="5">
        <v>5.301006E7</v>
      </c>
      <c r="D53" s="9"/>
      <c r="E53" s="4" t="s">
        <v>14</v>
      </c>
      <c r="F53" s="7">
        <v>4420.0</v>
      </c>
      <c r="G53" s="7">
        <f t="shared" si="5"/>
        <v>309.4</v>
      </c>
      <c r="H53" s="7">
        <f t="shared" si="6"/>
        <v>4729.4</v>
      </c>
      <c r="I53" s="8"/>
      <c r="J53" s="8"/>
    </row>
    <row r="54" ht="22.5" customHeight="1">
      <c r="C54" s="5">
        <v>5.301006E7</v>
      </c>
      <c r="D54" s="9"/>
      <c r="E54" s="4" t="s">
        <v>15</v>
      </c>
      <c r="F54" s="7">
        <v>3500.0</v>
      </c>
      <c r="G54" s="7">
        <f t="shared" si="5"/>
        <v>245</v>
      </c>
      <c r="H54" s="7">
        <f t="shared" si="6"/>
        <v>3745</v>
      </c>
      <c r="I54" s="8"/>
      <c r="J54" s="8"/>
    </row>
    <row r="55" ht="22.5" customHeight="1">
      <c r="C55" s="5">
        <v>5.301006E7</v>
      </c>
      <c r="D55" s="9"/>
      <c r="E55" s="4" t="s">
        <v>16</v>
      </c>
      <c r="F55" s="7">
        <v>2600.0</v>
      </c>
      <c r="G55" s="7">
        <f t="shared" si="5"/>
        <v>182</v>
      </c>
      <c r="H55" s="7">
        <f t="shared" si="6"/>
        <v>2782</v>
      </c>
      <c r="I55" s="8"/>
      <c r="J55" s="8"/>
    </row>
    <row r="56" ht="22.5" customHeight="1">
      <c r="C56" s="5">
        <v>5.301006E7</v>
      </c>
      <c r="D56" s="9"/>
      <c r="E56" s="4" t="s">
        <v>17</v>
      </c>
      <c r="F56" s="7">
        <v>3300.0</v>
      </c>
      <c r="G56" s="7">
        <f t="shared" si="5"/>
        <v>231</v>
      </c>
      <c r="H56" s="7">
        <f t="shared" si="6"/>
        <v>3531</v>
      </c>
      <c r="I56" s="8"/>
      <c r="J56" s="8"/>
    </row>
    <row r="57" ht="22.5" customHeight="1">
      <c r="C57" s="5">
        <v>5.301006E7</v>
      </c>
      <c r="D57" s="9"/>
      <c r="E57" s="4" t="s">
        <v>18</v>
      </c>
      <c r="F57" s="7">
        <v>794.0</v>
      </c>
      <c r="G57" s="7">
        <f t="shared" si="5"/>
        <v>55.58</v>
      </c>
      <c r="H57" s="7">
        <f t="shared" si="6"/>
        <v>849.58</v>
      </c>
      <c r="I57" s="8"/>
      <c r="J57" s="8"/>
    </row>
    <row r="58" ht="22.5" customHeight="1">
      <c r="C58" s="5">
        <v>5.301006E7</v>
      </c>
      <c r="D58" s="9"/>
      <c r="E58" s="4" t="s">
        <v>19</v>
      </c>
      <c r="F58" s="7">
        <v>794.0</v>
      </c>
      <c r="G58" s="7">
        <f t="shared" si="5"/>
        <v>55.58</v>
      </c>
      <c r="H58" s="7">
        <f t="shared" si="6"/>
        <v>849.58</v>
      </c>
      <c r="I58" s="8"/>
      <c r="J58" s="8"/>
    </row>
    <row r="59" ht="22.5" customHeight="1">
      <c r="C59" s="5">
        <v>5.301006E7</v>
      </c>
      <c r="D59" s="9"/>
      <c r="E59" s="4" t="s">
        <v>20</v>
      </c>
      <c r="F59" s="7">
        <v>794.0</v>
      </c>
      <c r="G59" s="7">
        <f t="shared" si="5"/>
        <v>55.58</v>
      </c>
      <c r="H59" s="7">
        <f t="shared" si="6"/>
        <v>849.58</v>
      </c>
      <c r="I59" s="8"/>
      <c r="J59" s="8"/>
    </row>
    <row r="60" ht="22.5" customHeight="1">
      <c r="C60" s="5">
        <v>5.301006E7</v>
      </c>
      <c r="D60" s="9"/>
      <c r="E60" s="4" t="s">
        <v>21</v>
      </c>
      <c r="F60" s="7">
        <v>794.0</v>
      </c>
      <c r="G60" s="7">
        <f t="shared" si="5"/>
        <v>55.58</v>
      </c>
      <c r="H60" s="7">
        <f t="shared" si="6"/>
        <v>849.58</v>
      </c>
      <c r="I60" s="8"/>
      <c r="J60" s="8"/>
    </row>
    <row r="61" ht="22.5" customHeight="1">
      <c r="A61" s="10" t="s">
        <v>50</v>
      </c>
      <c r="C61" s="11"/>
      <c r="D61" s="9"/>
      <c r="F61" s="8">
        <f t="shared" ref="F61:G61" si="7">SUM(F50:F60)</f>
        <v>26996</v>
      </c>
      <c r="G61" s="8">
        <f t="shared" si="7"/>
        <v>1889.72</v>
      </c>
      <c r="H61" s="8">
        <f> SUM(H50:H60)</f>
        <v>28885.72</v>
      </c>
      <c r="I61" s="8"/>
      <c r="J61" s="8">
        <f>SUM(J50:J60)</f>
        <v>0</v>
      </c>
    </row>
    <row r="65">
      <c r="E65" s="16" t="s">
        <v>22</v>
      </c>
    </row>
    <row r="69" ht="22.5" customHeight="1">
      <c r="A69" s="3" t="s">
        <v>1</v>
      </c>
      <c r="B69" s="3" t="s">
        <v>2</v>
      </c>
      <c r="C69" s="3" t="s">
        <v>3</v>
      </c>
      <c r="D69" s="3" t="s">
        <v>4</v>
      </c>
      <c r="E69" s="3" t="s">
        <v>5</v>
      </c>
      <c r="F69" s="3" t="s">
        <v>6</v>
      </c>
      <c r="G69" s="3" t="s">
        <v>7</v>
      </c>
      <c r="H69" s="3" t="s">
        <v>8</v>
      </c>
      <c r="I69" s="3" t="s">
        <v>9</v>
      </c>
      <c r="J69" s="3" t="s">
        <v>10</v>
      </c>
    </row>
    <row r="70" ht="22.5" customHeight="1">
      <c r="A70" s="10" t="s">
        <v>22</v>
      </c>
      <c r="C70" s="11"/>
      <c r="D70" s="9"/>
      <c r="F70" s="8"/>
      <c r="G70" s="8"/>
      <c r="H70" s="8"/>
      <c r="I70" s="8"/>
      <c r="J70" s="8"/>
    </row>
    <row r="71" ht="22.5" customHeight="1">
      <c r="B71" s="3"/>
      <c r="C71" s="12">
        <v>5.301009E7</v>
      </c>
      <c r="D71" s="13" t="s">
        <v>23</v>
      </c>
      <c r="E71" s="10" t="s">
        <v>24</v>
      </c>
      <c r="F71" s="7">
        <v>19071.0</v>
      </c>
      <c r="G71" s="7">
        <f t="shared" ref="G71:G88" si="8"> F71 *7%</f>
        <v>1334.97</v>
      </c>
      <c r="H71" s="7">
        <f t="shared" ref="H71:H88" si="9">F71 + G71</f>
        <v>20405.97</v>
      </c>
      <c r="I71" s="8"/>
      <c r="J71" s="8"/>
    </row>
    <row r="72" ht="22.5" customHeight="1">
      <c r="B72" s="3"/>
      <c r="C72" s="12">
        <v>5.301009E7</v>
      </c>
      <c r="D72" s="13" t="s">
        <v>25</v>
      </c>
      <c r="E72" s="10" t="s">
        <v>26</v>
      </c>
      <c r="F72" s="7">
        <v>800.0</v>
      </c>
      <c r="G72" s="7">
        <f t="shared" si="8"/>
        <v>56</v>
      </c>
      <c r="H72" s="7">
        <f t="shared" si="9"/>
        <v>856</v>
      </c>
      <c r="I72" s="8"/>
      <c r="J72" s="8"/>
    </row>
    <row r="73" ht="22.5" customHeight="1">
      <c r="B73" s="3"/>
      <c r="C73" s="12">
        <v>5.301009E7</v>
      </c>
      <c r="D73" s="13" t="s">
        <v>25</v>
      </c>
      <c r="E73" s="10" t="s">
        <v>27</v>
      </c>
      <c r="F73" s="7">
        <v>800.0</v>
      </c>
      <c r="G73" s="7">
        <f t="shared" si="8"/>
        <v>56</v>
      </c>
      <c r="H73" s="7">
        <f t="shared" si="9"/>
        <v>856</v>
      </c>
      <c r="I73" s="8"/>
      <c r="J73" s="8"/>
    </row>
    <row r="74" ht="22.5" customHeight="1">
      <c r="B74" s="3"/>
      <c r="C74" s="12">
        <v>5.301009E7</v>
      </c>
      <c r="D74" s="13" t="s">
        <v>28</v>
      </c>
      <c r="E74" s="10" t="s">
        <v>29</v>
      </c>
      <c r="F74" s="7">
        <v>624.0</v>
      </c>
      <c r="G74" s="7">
        <f t="shared" si="8"/>
        <v>43.68</v>
      </c>
      <c r="H74" s="7">
        <f t="shared" si="9"/>
        <v>667.68</v>
      </c>
      <c r="I74" s="8"/>
      <c r="J74" s="8"/>
    </row>
    <row r="75" ht="22.5" customHeight="1">
      <c r="B75" s="3"/>
      <c r="C75" s="12">
        <v>5.301009E7</v>
      </c>
      <c r="D75" s="13" t="s">
        <v>30</v>
      </c>
      <c r="E75" s="10" t="s">
        <v>31</v>
      </c>
      <c r="F75" s="7">
        <v>624.0</v>
      </c>
      <c r="G75" s="7">
        <f t="shared" si="8"/>
        <v>43.68</v>
      </c>
      <c r="H75" s="7">
        <f t="shared" si="9"/>
        <v>667.68</v>
      </c>
      <c r="I75" s="8"/>
      <c r="J75" s="8"/>
    </row>
    <row r="76" ht="22.5" customHeight="1">
      <c r="B76" s="3"/>
      <c r="C76" s="12">
        <v>5.301009E7</v>
      </c>
      <c r="D76" s="13" t="s">
        <v>30</v>
      </c>
      <c r="E76" s="10" t="s">
        <v>32</v>
      </c>
      <c r="F76" s="7">
        <v>468.0</v>
      </c>
      <c r="G76" s="7">
        <f t="shared" si="8"/>
        <v>32.76</v>
      </c>
      <c r="H76" s="7">
        <f t="shared" si="9"/>
        <v>500.76</v>
      </c>
      <c r="I76" s="8"/>
      <c r="J76" s="8"/>
    </row>
    <row r="77" ht="22.5" customHeight="1">
      <c r="B77" s="3"/>
      <c r="C77" s="12">
        <v>5.301009E7</v>
      </c>
      <c r="D77" s="13" t="s">
        <v>30</v>
      </c>
      <c r="E77" s="10" t="s">
        <v>31</v>
      </c>
      <c r="F77" s="7">
        <v>624.0</v>
      </c>
      <c r="G77" s="7">
        <f t="shared" si="8"/>
        <v>43.68</v>
      </c>
      <c r="H77" s="7">
        <f t="shared" si="9"/>
        <v>667.68</v>
      </c>
      <c r="I77" s="8"/>
      <c r="J77" s="8"/>
    </row>
    <row r="78" ht="22.5" customHeight="1">
      <c r="B78" s="3"/>
      <c r="C78" s="12">
        <v>5.301009E7</v>
      </c>
      <c r="D78" s="13" t="s">
        <v>33</v>
      </c>
      <c r="E78" s="10" t="s">
        <v>34</v>
      </c>
      <c r="F78" s="7">
        <v>624.0</v>
      </c>
      <c r="G78" s="7">
        <f t="shared" si="8"/>
        <v>43.68</v>
      </c>
      <c r="H78" s="7">
        <f t="shared" si="9"/>
        <v>667.68</v>
      </c>
      <c r="I78" s="8"/>
      <c r="J78" s="8"/>
    </row>
    <row r="79" ht="22.5" customHeight="1">
      <c r="B79" s="3"/>
      <c r="C79" s="12">
        <v>5.301009E7</v>
      </c>
      <c r="D79" s="13" t="s">
        <v>30</v>
      </c>
      <c r="E79" s="10" t="s">
        <v>31</v>
      </c>
      <c r="F79" s="7">
        <v>234.0</v>
      </c>
      <c r="G79" s="7">
        <f t="shared" si="8"/>
        <v>16.38</v>
      </c>
      <c r="H79" s="7">
        <f t="shared" si="9"/>
        <v>250.38</v>
      </c>
      <c r="I79" s="8"/>
      <c r="J79" s="14">
        <f> SUMIF(D71:D88, "H307101030",F71:F88)</f>
        <v>90531</v>
      </c>
    </row>
    <row r="80" ht="22.5" customHeight="1">
      <c r="B80" s="3"/>
      <c r="C80" s="5">
        <v>5.301009E7</v>
      </c>
      <c r="D80" s="13" t="s">
        <v>23</v>
      </c>
      <c r="E80" s="4" t="s">
        <v>35</v>
      </c>
      <c r="F80" s="7">
        <v>23820.0</v>
      </c>
      <c r="G80" s="7">
        <f t="shared" si="8"/>
        <v>1667.4</v>
      </c>
      <c r="H80" s="7">
        <f t="shared" si="9"/>
        <v>25487.4</v>
      </c>
      <c r="I80" s="8"/>
      <c r="J80" s="8"/>
    </row>
    <row r="81" ht="22.5" customHeight="1">
      <c r="C81" s="5">
        <v>5.301006E7</v>
      </c>
      <c r="D81" s="13" t="s">
        <v>30</v>
      </c>
      <c r="E81" s="4" t="s">
        <v>36</v>
      </c>
      <c r="F81" s="7">
        <v>794.0</v>
      </c>
      <c r="G81" s="7">
        <f t="shared" si="8"/>
        <v>55.58</v>
      </c>
      <c r="H81" s="7">
        <f t="shared" si="9"/>
        <v>849.58</v>
      </c>
      <c r="I81" s="8"/>
      <c r="J81" s="8"/>
    </row>
    <row r="82" ht="22.5" customHeight="1">
      <c r="C82" s="5">
        <v>5.301006E7</v>
      </c>
      <c r="D82" s="13" t="s">
        <v>30</v>
      </c>
      <c r="E82" s="4" t="s">
        <v>37</v>
      </c>
      <c r="F82" s="7">
        <v>794.0</v>
      </c>
      <c r="G82" s="7">
        <f t="shared" si="8"/>
        <v>55.58</v>
      </c>
      <c r="H82" s="7">
        <f t="shared" si="9"/>
        <v>849.58</v>
      </c>
      <c r="I82" s="8"/>
      <c r="J82" s="8"/>
    </row>
    <row r="83" ht="22.5" customHeight="1">
      <c r="C83" s="5">
        <v>5.301006E7</v>
      </c>
      <c r="D83" s="13" t="s">
        <v>30</v>
      </c>
      <c r="E83" s="4" t="s">
        <v>36</v>
      </c>
      <c r="F83" s="7">
        <v>794.0</v>
      </c>
      <c r="G83" s="7">
        <f t="shared" si="8"/>
        <v>55.58</v>
      </c>
      <c r="H83" s="7">
        <f t="shared" si="9"/>
        <v>849.58</v>
      </c>
      <c r="I83" s="8"/>
      <c r="J83" s="8"/>
    </row>
    <row r="84" ht="22.5" customHeight="1">
      <c r="C84" s="5">
        <v>5.301009E7</v>
      </c>
      <c r="D84" s="13" t="s">
        <v>23</v>
      </c>
      <c r="E84" s="4" t="s">
        <v>38</v>
      </c>
      <c r="F84" s="7">
        <v>23820.0</v>
      </c>
      <c r="G84" s="7">
        <f t="shared" si="8"/>
        <v>1667.4</v>
      </c>
      <c r="H84" s="7">
        <f t="shared" si="9"/>
        <v>25487.4</v>
      </c>
      <c r="I84" s="8"/>
      <c r="J84" s="8"/>
    </row>
    <row r="85" ht="22.5" customHeight="1">
      <c r="C85" s="5">
        <v>5.301009E7</v>
      </c>
      <c r="D85" s="13" t="s">
        <v>30</v>
      </c>
      <c r="E85" s="4" t="s">
        <v>39</v>
      </c>
      <c r="F85" s="7">
        <v>794.0</v>
      </c>
      <c r="G85" s="7">
        <f t="shared" si="8"/>
        <v>55.58</v>
      </c>
      <c r="H85" s="7">
        <f t="shared" si="9"/>
        <v>849.58</v>
      </c>
      <c r="I85" s="8"/>
      <c r="J85" s="8"/>
    </row>
    <row r="86" ht="22.5" customHeight="1">
      <c r="C86" s="5">
        <v>5.301009E7</v>
      </c>
      <c r="D86" s="13" t="s">
        <v>23</v>
      </c>
      <c r="E86" s="15" t="s">
        <v>40</v>
      </c>
      <c r="F86" s="7">
        <v>23820.0</v>
      </c>
      <c r="G86" s="7">
        <f t="shared" si="8"/>
        <v>1667.4</v>
      </c>
      <c r="H86" s="7">
        <f t="shared" si="9"/>
        <v>25487.4</v>
      </c>
      <c r="I86" s="8"/>
      <c r="J86" s="8"/>
    </row>
    <row r="87" ht="22.5" customHeight="1">
      <c r="C87" s="5">
        <v>5.301006E7</v>
      </c>
      <c r="D87" s="13" t="s">
        <v>30</v>
      </c>
      <c r="E87" s="4" t="s">
        <v>41</v>
      </c>
      <c r="F87" s="7">
        <v>794.0</v>
      </c>
      <c r="G87" s="7">
        <f t="shared" si="8"/>
        <v>55.58</v>
      </c>
      <c r="H87" s="7">
        <f t="shared" si="9"/>
        <v>849.58</v>
      </c>
      <c r="I87" s="8"/>
      <c r="J87" s="8"/>
    </row>
    <row r="88" ht="22.5" customHeight="1">
      <c r="C88" s="5">
        <v>5.301006E7</v>
      </c>
      <c r="D88" s="13" t="s">
        <v>30</v>
      </c>
      <c r="E88" s="4" t="s">
        <v>42</v>
      </c>
      <c r="F88" s="7">
        <v>794.0</v>
      </c>
      <c r="G88" s="7">
        <f t="shared" si="8"/>
        <v>55.58</v>
      </c>
      <c r="H88" s="7">
        <f t="shared" si="9"/>
        <v>849.58</v>
      </c>
      <c r="I88" s="8"/>
      <c r="J88" s="8"/>
    </row>
    <row r="89" ht="22.5" customHeight="1">
      <c r="A89" s="10" t="s">
        <v>50</v>
      </c>
      <c r="C89" s="11"/>
      <c r="D89" s="9"/>
      <c r="F89" s="8">
        <f t="shared" ref="F89:G89" si="10">SUM(F71:F88)</f>
        <v>100093</v>
      </c>
      <c r="G89" s="8">
        <f t="shared" si="10"/>
        <v>7006.51</v>
      </c>
      <c r="H89" s="8">
        <f> SUM(H71:H88)</f>
        <v>107099.51</v>
      </c>
      <c r="I89" s="8"/>
      <c r="J89" s="8">
        <f>SUM(J71:J88)</f>
        <v>90531</v>
      </c>
    </row>
    <row r="91">
      <c r="E91" s="16" t="s">
        <v>43</v>
      </c>
    </row>
    <row r="93" ht="22.5" customHeight="1">
      <c r="A93" s="3" t="s">
        <v>1</v>
      </c>
      <c r="B93" s="3" t="s">
        <v>2</v>
      </c>
      <c r="C93" s="3" t="s">
        <v>3</v>
      </c>
      <c r="D93" s="3" t="s">
        <v>4</v>
      </c>
      <c r="E93" s="3" t="s">
        <v>5</v>
      </c>
      <c r="F93" s="3" t="s">
        <v>6</v>
      </c>
      <c r="G93" s="3" t="s">
        <v>7</v>
      </c>
      <c r="H93" s="3" t="s">
        <v>8</v>
      </c>
      <c r="I93" s="3" t="s">
        <v>9</v>
      </c>
      <c r="J93" s="3" t="s">
        <v>10</v>
      </c>
    </row>
    <row r="94" ht="22.5" customHeight="1">
      <c r="A94" s="10" t="s">
        <v>43</v>
      </c>
      <c r="C94" s="11"/>
      <c r="D94" s="9"/>
      <c r="F94" s="17"/>
      <c r="G94" s="17"/>
      <c r="H94" s="17"/>
      <c r="I94" s="17"/>
      <c r="J94" s="17"/>
    </row>
    <row r="95" ht="22.5" customHeight="1">
      <c r="C95" s="12">
        <v>5.301009E7</v>
      </c>
      <c r="D95" s="13" t="s">
        <v>44</v>
      </c>
      <c r="E95" s="10" t="s">
        <v>45</v>
      </c>
      <c r="F95" s="18">
        <v>18720.0</v>
      </c>
      <c r="G95" s="18">
        <f> F95 *7%</f>
        <v>1310.4</v>
      </c>
      <c r="H95" s="18">
        <f>F95 + G95</f>
        <v>20030.4</v>
      </c>
      <c r="I95" s="17"/>
      <c r="J95" s="19">
        <f> SUMIF(D94:D95, "H307101010",F94:F95)</f>
        <v>18720</v>
      </c>
    </row>
    <row r="96" ht="22.5" customHeight="1">
      <c r="A96" s="20" t="s">
        <v>50</v>
      </c>
      <c r="B96" s="21"/>
      <c r="C96" s="22"/>
      <c r="D96" s="23"/>
      <c r="E96" s="24"/>
      <c r="F96" s="25">
        <f t="shared" ref="F96:G96" si="11">SUM(F94:F95)</f>
        <v>18720</v>
      </c>
      <c r="G96" s="25">
        <f t="shared" si="11"/>
        <v>1310.4</v>
      </c>
      <c r="H96" s="25">
        <f> SUM(H94:H95)</f>
        <v>20030.4</v>
      </c>
      <c r="I96" s="26"/>
      <c r="J96" s="27">
        <f>SUM(J94:J95)</f>
        <v>18720</v>
      </c>
    </row>
    <row r="100">
      <c r="E100" s="16" t="s">
        <v>46</v>
      </c>
    </row>
    <row r="105" ht="22.5" customHeight="1">
      <c r="A105" s="3" t="s">
        <v>1</v>
      </c>
      <c r="B105" s="3" t="s">
        <v>2</v>
      </c>
      <c r="C105" s="3" t="s">
        <v>3</v>
      </c>
      <c r="D105" s="3" t="s">
        <v>4</v>
      </c>
      <c r="E105" s="3" t="s">
        <v>5</v>
      </c>
      <c r="F105" s="3" t="s">
        <v>6</v>
      </c>
      <c r="G105" s="3" t="s">
        <v>7</v>
      </c>
      <c r="H105" s="3" t="s">
        <v>8</v>
      </c>
      <c r="I105" s="3" t="s">
        <v>9</v>
      </c>
      <c r="J105" s="3" t="s">
        <v>10</v>
      </c>
    </row>
    <row r="106" ht="22.5" customHeight="1">
      <c r="A106" s="10" t="s">
        <v>46</v>
      </c>
      <c r="C106" s="11"/>
      <c r="D106" s="9"/>
      <c r="F106" s="8"/>
      <c r="G106" s="8"/>
      <c r="H106" s="8"/>
      <c r="I106" s="8"/>
      <c r="J106" s="8"/>
    </row>
    <row r="107" ht="22.5" customHeight="1">
      <c r="C107" s="12">
        <v>5.301009E7</v>
      </c>
      <c r="D107" s="13" t="s">
        <v>47</v>
      </c>
      <c r="E107" s="10" t="s">
        <v>45</v>
      </c>
      <c r="F107" s="7">
        <v>19305.0</v>
      </c>
      <c r="G107" s="7">
        <f> F107 *7%</f>
        <v>1351.35</v>
      </c>
      <c r="H107" s="7">
        <f>F107 + G107</f>
        <v>20656.35</v>
      </c>
      <c r="I107" s="8"/>
      <c r="J107" s="14">
        <f> SUMIF(D106:D107, "H307101070",F106:F107)</f>
        <v>19305</v>
      </c>
    </row>
    <row r="108" ht="22.5" customHeight="1">
      <c r="A108" s="10" t="s">
        <v>50</v>
      </c>
      <c r="C108" s="11"/>
      <c r="D108" s="9"/>
      <c r="F108" s="8">
        <f t="shared" ref="F108:G108" si="12">SUM(F106:F107)</f>
        <v>19305</v>
      </c>
      <c r="G108" s="8">
        <f t="shared" si="12"/>
        <v>1351.35</v>
      </c>
      <c r="H108" s="8">
        <f> SUM(H106:H107)</f>
        <v>20656.35</v>
      </c>
      <c r="I108" s="8"/>
      <c r="J108" s="8">
        <f>SUM(J106:J107)</f>
        <v>19305</v>
      </c>
    </row>
    <row r="110">
      <c r="E110" s="16" t="s">
        <v>48</v>
      </c>
    </row>
    <row r="113" ht="22.5" customHeight="1">
      <c r="A113" s="3" t="s">
        <v>1</v>
      </c>
      <c r="B113" s="3" t="s">
        <v>2</v>
      </c>
      <c r="C113" s="3" t="s">
        <v>3</v>
      </c>
      <c r="D113" s="3" t="s">
        <v>4</v>
      </c>
      <c r="E113" s="3" t="s">
        <v>5</v>
      </c>
      <c r="F113" s="3" t="s">
        <v>6</v>
      </c>
      <c r="G113" s="3" t="s">
        <v>7</v>
      </c>
      <c r="H113" s="3" t="s">
        <v>8</v>
      </c>
      <c r="I113" s="3" t="s">
        <v>9</v>
      </c>
      <c r="J113" s="3" t="s">
        <v>10</v>
      </c>
    </row>
    <row r="114" ht="22.5" customHeight="1">
      <c r="A114" s="10" t="s">
        <v>48</v>
      </c>
      <c r="C114" s="11"/>
      <c r="D114" s="9"/>
      <c r="F114" s="8"/>
      <c r="G114" s="8"/>
      <c r="H114" s="8"/>
      <c r="I114" s="8"/>
      <c r="J114" s="8"/>
    </row>
    <row r="115" ht="22.5" customHeight="1">
      <c r="C115" s="12">
        <v>5.301009E7</v>
      </c>
      <c r="D115" s="13" t="s">
        <v>49</v>
      </c>
      <c r="E115" s="10" t="s">
        <v>45</v>
      </c>
      <c r="F115" s="7">
        <v>21255.0</v>
      </c>
      <c r="G115" s="7">
        <f> F115 *7%</f>
        <v>1487.85</v>
      </c>
      <c r="H115" s="7">
        <f>F115 + G115</f>
        <v>22742.85</v>
      </c>
      <c r="I115" s="8"/>
      <c r="J115" s="14">
        <f> SUMIF(D114:D115, "H307103000",F114:F115)</f>
        <v>21255</v>
      </c>
    </row>
    <row r="116" ht="22.5" customHeight="1">
      <c r="A116" s="10" t="s">
        <v>50</v>
      </c>
      <c r="C116" s="11"/>
      <c r="D116" s="9"/>
      <c r="F116" s="8">
        <f t="shared" ref="F116:G116" si="13">SUM(F114:F115)</f>
        <v>21255</v>
      </c>
      <c r="G116" s="8">
        <f t="shared" si="13"/>
        <v>1487.85</v>
      </c>
      <c r="H116" s="8">
        <f> SUM(H114:H115)</f>
        <v>22742.85</v>
      </c>
      <c r="I116" s="8"/>
      <c r="J116" s="8">
        <f>SUM(J114:J115)</f>
        <v>21255</v>
      </c>
    </row>
  </sheetData>
  <dataValidations>
    <dataValidation type="custom" allowBlank="1" showDropDown="1" sqref="C5:C41 F5:J41 C50:C61 F50:J61 C70:C89 F70:J89 C94:C96 F94:J96 C106:C108 F106:J108 C114:C116 F114:J116">
      <formula1>AND(ISNUMBER(C5),(NOT(OR(NOT(ISERROR(DATEVALUE(C5))), AND(ISNUMBER(C5), LEFT(CELL("format", C5))="D")))))</formula1>
    </dataValidation>
    <dataValidation type="list" allowBlank="1" sqref="D5:D41 D50:D61 D70:D89 D94:D96 D106:D108 D114:D116">
      <formula1>"H307101010,H307101030,H307101070,H308301010,H312101030,H319101030,H307103000,-"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